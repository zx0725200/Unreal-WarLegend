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파라미터" sheetId="1" state="visible" r:id="rId1"/>
    <sheet name="장비_티어" sheetId="2" state="visible" r:id="rId2"/>
    <sheet name="특수아이템_스택" sheetId="3" state="visible" r:id="rId3"/>
    <sheet name="시간곡선" sheetId="4" state="visible" r:id="rId4"/>
    <sheet name="던전_요구치" sheetId="5" state="visible" r:id="rId5"/>
    <sheet name="성공확률" sheetId="6" state="visible" r:id="rId6"/>
    <sheet name="스킬진화" sheetId="7" state="visible" r:id="rId7"/>
    <sheet name="드랍_조합" sheetId="8" state="visible" r:id="rId8"/>
    <sheet name="진행시뮬_2던전" sheetId="9" state="visible" r:id="rId9"/>
    <sheet name="시간곡선_룩업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%"/>
    <numFmt numFmtId="167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</font>
    <font>
      <name val="Arial"/>
      <color rgb="000000FF"/>
    </font>
    <font>
      <name val="Arial"/>
      <i val="1"/>
      <color rgb="00808080"/>
      <sz val="9"/>
    </font>
    <font>
      <name val="Arial"/>
      <color rgb="00008000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1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6" fillId="0" borderId="1" pivotButton="0" quotePrefix="0" xfId="0"/>
    <xf numFmtId="3" fontId="7" fillId="0" borderId="1" pivotButton="0" quotePrefix="0" xfId="0"/>
    <xf numFmtId="3" fontId="4" fillId="0" borderId="1" applyAlignment="1" pivotButton="0" quotePrefix="0" xfId="0">
      <alignment horizontal="center" vertical="center"/>
    </xf>
    <xf numFmtId="2" fontId="4" fillId="0" borderId="1" pivotButton="0" quotePrefix="0" xfId="0"/>
    <xf numFmtId="2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3" fillId="0" borderId="0" pivotButton="0" quotePrefix="0" xfId="0"/>
    <xf numFmtId="0" fontId="7" fillId="0" borderId="0" pivotButton="0" quotePrefix="0" xfId="0"/>
    <xf numFmtId="3" fontId="4" fillId="0" borderId="1" pivotButton="0" quotePrefix="0" xfId="0"/>
    <xf numFmtId="166" fontId="6" fillId="0" borderId="1" pivotButton="0" quotePrefix="0" xfId="0"/>
    <xf numFmtId="166" fontId="7" fillId="0" borderId="1" pivotButton="0" quotePrefix="0" xfId="0"/>
    <xf numFmtId="0" fontId="0" fillId="0" borderId="1" pivotButton="0" quotePrefix="0" xfId="0"/>
    <xf numFmtId="167" fontId="7" fillId="0" borderId="1" pivotButton="0" quotePrefix="0" xfId="0"/>
    <xf numFmtId="164" fontId="7" fillId="0" borderId="1" pivotButton="0" quotePrefix="0" xfId="0"/>
    <xf numFmtId="0" fontId="6" fillId="0" borderId="1" pivotButton="0" quotePrefix="0" xfId="0"/>
    <xf numFmtId="3" fontId="0" fillId="0" borderId="1" applyAlignment="1" pivotButton="0" quotePrefix="0" xfId="0">
      <alignment horizontal="center" vertical="center"/>
    </xf>
    <xf numFmtId="2" fontId="7" fillId="0" borderId="1" pivotButton="0" quotePrefix="0" xfId="0"/>
    <xf numFmtId="1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1" t="inlineStr">
        <is>
          <t>밸런스 파라미터 (파란값만 바꾸면 전체 자동 재계산)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설명</t>
        </is>
      </c>
    </row>
    <row r="4">
      <c r="A4" s="3" t="inlineStr">
        <is>
          <t>티어 성장배수</t>
        </is>
      </c>
      <c r="B4" s="4" t="n">
        <v>2.5</v>
      </c>
      <c r="C4" s="5" t="inlineStr">
        <is>
          <t>던전 1단계 올라갈 때 장비 데미지/방어/체력 배수</t>
        </is>
      </c>
    </row>
    <row r="5">
      <c r="A5" s="3" t="inlineStr">
        <is>
          <t>데미지 피스 기본값</t>
        </is>
      </c>
      <c r="B5" s="4" t="n">
        <v>100</v>
      </c>
      <c r="C5" s="5" t="inlineStr">
        <is>
          <t>1티어 데미지 장비 1칸 데미지 (무기/보조/모자)</t>
        </is>
      </c>
    </row>
    <row r="6">
      <c r="A6" s="3" t="inlineStr">
        <is>
          <t>방어 피스 기본값</t>
        </is>
      </c>
      <c r="B6" s="4" t="n">
        <v>60</v>
      </c>
      <c r="C6" s="5" t="inlineStr">
        <is>
          <t>1티어 방어 장비 1칸 방어력 (방어구/기타/벨트)</t>
        </is>
      </c>
    </row>
    <row r="7">
      <c r="A7" s="3" t="inlineStr">
        <is>
          <t>체력 피스 기본값</t>
        </is>
      </c>
      <c r="B7" s="4" t="n">
        <v>600</v>
      </c>
      <c r="C7" s="5" t="inlineStr">
        <is>
          <t>1티어 방어 장비 1칸 체력</t>
        </is>
      </c>
    </row>
    <row r="8">
      <c r="A8" s="3" t="inlineStr">
        <is>
          <t>아르카나 풀스택 데미지배수</t>
        </is>
      </c>
      <c r="B8" s="4" t="n">
        <v>1.9</v>
      </c>
      <c r="C8" s="5" t="inlineStr">
        <is>
          <t>특수아이템 4000개 시 데미지 배수 (&lt; 성장배수 2.5 → 다음던전 못 넘음)</t>
        </is>
      </c>
    </row>
    <row r="9">
      <c r="A9" s="3" t="inlineStr">
        <is>
          <t>최대 클리어 시간(분)</t>
        </is>
      </c>
      <c r="B9" s="4" t="n">
        <v>20</v>
      </c>
      <c r="C9" s="5" t="inlineStr">
        <is>
          <t>갓 입장(이전티어 풀셋) 시 클리어 시간 상한</t>
        </is>
      </c>
    </row>
    <row r="10">
      <c r="A10" s="3" t="inlineStr">
        <is>
          <t>최소 클리어 시간(분)</t>
        </is>
      </c>
      <c r="B10" s="4" t="n">
        <v>5</v>
      </c>
      <c r="C10" s="5" t="inlineStr">
        <is>
          <t>아무리 세도 이 밑으로는 안 내려감(모든 몹 처치 최소시간)</t>
        </is>
      </c>
    </row>
    <row r="11">
      <c r="A11" s="3" t="inlineStr">
        <is>
          <t>스킬 1개당 데미지배수</t>
        </is>
      </c>
      <c r="B11" s="4" t="n">
        <v>1.2</v>
      </c>
      <c r="C11" s="5" t="inlineStr">
        <is>
          <t>보스3/6/9 스킬 진화 1개당 데미지 배수 (곱연산)</t>
        </is>
      </c>
    </row>
    <row r="12">
      <c r="A12" s="3" t="inlineStr">
        <is>
          <t>하드클리어 배수</t>
        </is>
      </c>
      <c r="B12" s="4" t="n">
        <v>2.5</v>
      </c>
      <c r="C12" s="5" t="inlineStr">
        <is>
          <t>요구 데미지의 몇 배면 무조건 성공 &amp; 최소시간</t>
        </is>
      </c>
    </row>
    <row r="13">
      <c r="A13" s="3" t="inlineStr">
        <is>
          <t>일반던전 특수아이템 드랍률</t>
        </is>
      </c>
      <c r="B13" s="6" t="n">
        <v>0.7</v>
      </c>
      <c r="C13" s="5" t="inlineStr">
        <is>
          <t>아르카나/어비스 드랍 확률</t>
        </is>
      </c>
    </row>
    <row r="14">
      <c r="A14" s="3" t="inlineStr">
        <is>
          <t>일반던전 히든 드랍률</t>
        </is>
      </c>
      <c r="B14" s="6" t="n">
        <v>0.01</v>
      </c>
      <c r="C14" s="5" t="inlineStr">
        <is>
          <t>히든 재료(기타 제작용)</t>
        </is>
      </c>
    </row>
    <row r="15">
      <c r="A15" s="3" t="inlineStr">
        <is>
          <t>보스던전 재료 드랍률</t>
        </is>
      </c>
      <c r="B15" s="6" t="n">
        <v>0.03</v>
      </c>
      <c r="C15" s="5" t="inlineStr">
        <is>
          <t>장비 제작 재료</t>
        </is>
      </c>
    </row>
    <row r="16">
      <c r="A16" s="3" t="inlineStr">
        <is>
          <t>보스던전 히든 드랍률</t>
        </is>
      </c>
      <c r="B16" s="6" t="n">
        <v>0.01</v>
      </c>
      <c r="C16" s="5" t="inlineStr">
        <is>
          <t>히든 재료(기타 제작용)</t>
        </is>
      </c>
    </row>
    <row r="17">
      <c r="A17" s="3" t="inlineStr">
        <is>
          <t>특수아이템 종류 확률</t>
        </is>
      </c>
      <c r="B17" s="6" t="n">
        <v>0.5</v>
      </c>
      <c r="C17" s="5" t="inlineStr">
        <is>
          <t>아르카나/어비스 50:50. 하나만 장착하므로 실수급은 절반</t>
        </is>
      </c>
    </row>
    <row r="18">
      <c r="A18" s="3" t="inlineStr">
        <is>
          <t>장비 1칸 제작 재료수</t>
        </is>
      </c>
      <c r="B18" s="4" t="n">
        <v>5</v>
      </c>
      <c r="C18" s="5" t="inlineStr">
        <is>
          <t>무기/방어구/보조/모자/벨트 1칸당 보스재료 수</t>
        </is>
      </c>
    </row>
    <row r="19">
      <c r="A19" s="3" t="inlineStr">
        <is>
          <t>기타 제작 보스히든 수</t>
        </is>
      </c>
      <c r="B19" s="4" t="n">
        <v>2</v>
      </c>
      <c r="C19" s="5" t="inlineStr">
        <is>
          <t>기타 1칸당 보스던전 히든 수</t>
        </is>
      </c>
    </row>
    <row r="20">
      <c r="A20" s="3" t="inlineStr">
        <is>
          <t>기타 제작 던전히든 수</t>
        </is>
      </c>
      <c r="B20" s="4" t="n">
        <v>2</v>
      </c>
      <c r="C20" s="5" t="inlineStr">
        <is>
          <t>기타 1칸당 일반던전 히든 수</t>
        </is>
      </c>
    </row>
    <row r="21">
      <c r="A21" s="3" t="inlineStr">
        <is>
          <t>평균 1런 시간(분)</t>
        </is>
      </c>
      <c r="B21" s="4" t="n">
        <v>10</v>
      </c>
      <c r="C21" s="5" t="inlineStr">
        <is>
          <t>기대 런수 → 시간 환산용 (오토 1판 평균)</t>
        </is>
      </c>
    </row>
    <row r="22">
      <c r="A22" s="3" t="inlineStr">
        <is>
          <t>기준 장비전용 CPR</t>
        </is>
      </c>
      <c r="B22" s="4" t="n">
        <v>1.315789473684211</v>
      </c>
      <c r="C22" s="5" t="inlineStr">
        <is>
          <t>현티어 장비 풀셋 데미지 ÷ 던전요구치 (성장배수/풀스택 = 일정)</t>
        </is>
      </c>
    </row>
    <row r="23">
      <c r="A23" s="3" t="inlineStr">
        <is>
          <t>보스던전 난이도 배수</t>
        </is>
      </c>
      <c r="B23" s="4" t="n">
        <v>1.5</v>
      </c>
      <c r="C23" s="5" t="inlineStr">
        <is>
          <t>보스던전 요구치 = 일반던전 요구치 × 이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티어별 장비 스탯 (장비 6칸 = 데미지3 + 방어3)</t>
        </is>
      </c>
    </row>
    <row r="3">
      <c r="A3" s="2" t="inlineStr">
        <is>
          <t>티어</t>
        </is>
      </c>
      <c r="B3" s="2" t="inlineStr">
        <is>
          <t>데미지피스(1칸)</t>
        </is>
      </c>
      <c r="C3" s="2" t="inlineStr">
        <is>
          <t>총데미지(3칸)</t>
        </is>
      </c>
      <c r="D3" s="2" t="inlineStr">
        <is>
          <t>방어피스(1칸)</t>
        </is>
      </c>
      <c r="E3" s="2" t="inlineStr">
        <is>
          <t>총방어(3칸)</t>
        </is>
      </c>
      <c r="F3" s="2" t="inlineStr">
        <is>
          <t>체력피스(1칸)</t>
        </is>
      </c>
      <c r="G3" s="2" t="inlineStr">
        <is>
          <t>총체력(3칸)</t>
        </is>
      </c>
      <c r="H3" s="2" t="inlineStr">
        <is>
          <t>총방어+체력</t>
        </is>
      </c>
    </row>
    <row r="4">
      <c r="A4" s="7" t="n">
        <v>1</v>
      </c>
      <c r="B4" s="8">
        <f>파라미터!$B$5*파라미터!$B$4^(A4-1)</f>
        <v/>
      </c>
      <c r="C4" s="9">
        <f>B4*3</f>
        <v/>
      </c>
      <c r="D4" s="8">
        <f>파라미터!$B$6*파라미터!$B$4^(A4-1)</f>
        <v/>
      </c>
      <c r="E4" s="9">
        <f>D4*3</f>
        <v/>
      </c>
      <c r="F4" s="8">
        <f>파라미터!$B$7*파라미터!$B$4^(A4-1)</f>
        <v/>
      </c>
      <c r="G4" s="9">
        <f>F4*3</f>
        <v/>
      </c>
      <c r="H4" s="9">
        <f>E4+G4</f>
        <v/>
      </c>
    </row>
    <row r="5">
      <c r="A5" s="7" t="n">
        <v>2</v>
      </c>
      <c r="B5" s="8">
        <f>파라미터!$B$5*파라미터!$B$4^(A5-1)</f>
        <v/>
      </c>
      <c r="C5" s="9">
        <f>B5*3</f>
        <v/>
      </c>
      <c r="D5" s="8">
        <f>파라미터!$B$6*파라미터!$B$4^(A5-1)</f>
        <v/>
      </c>
      <c r="E5" s="9">
        <f>D5*3</f>
        <v/>
      </c>
      <c r="F5" s="8">
        <f>파라미터!$B$7*파라미터!$B$4^(A5-1)</f>
        <v/>
      </c>
      <c r="G5" s="9">
        <f>F5*3</f>
        <v/>
      </c>
      <c r="H5" s="9">
        <f>E5+G5</f>
        <v/>
      </c>
    </row>
    <row r="6">
      <c r="A6" s="7" t="n">
        <v>3</v>
      </c>
      <c r="B6" s="8">
        <f>파라미터!$B$5*파라미터!$B$4^(A6-1)</f>
        <v/>
      </c>
      <c r="C6" s="9">
        <f>B6*3</f>
        <v/>
      </c>
      <c r="D6" s="8">
        <f>파라미터!$B$6*파라미터!$B$4^(A6-1)</f>
        <v/>
      </c>
      <c r="E6" s="9">
        <f>D6*3</f>
        <v/>
      </c>
      <c r="F6" s="8">
        <f>파라미터!$B$7*파라미터!$B$4^(A6-1)</f>
        <v/>
      </c>
      <c r="G6" s="9">
        <f>F6*3</f>
        <v/>
      </c>
      <c r="H6" s="9">
        <f>E6+G6</f>
        <v/>
      </c>
    </row>
    <row r="7">
      <c r="A7" s="7" t="n">
        <v>4</v>
      </c>
      <c r="B7" s="8">
        <f>파라미터!$B$5*파라미터!$B$4^(A7-1)</f>
        <v/>
      </c>
      <c r="C7" s="9">
        <f>B7*3</f>
        <v/>
      </c>
      <c r="D7" s="8">
        <f>파라미터!$B$6*파라미터!$B$4^(A7-1)</f>
        <v/>
      </c>
      <c r="E7" s="9">
        <f>D7*3</f>
        <v/>
      </c>
      <c r="F7" s="8">
        <f>파라미터!$B$7*파라미터!$B$4^(A7-1)</f>
        <v/>
      </c>
      <c r="G7" s="9">
        <f>F7*3</f>
        <v/>
      </c>
      <c r="H7" s="9">
        <f>E7+G7</f>
        <v/>
      </c>
    </row>
    <row r="8">
      <c r="A8" s="7" t="n">
        <v>5</v>
      </c>
      <c r="B8" s="8">
        <f>파라미터!$B$5*파라미터!$B$4^(A8-1)</f>
        <v/>
      </c>
      <c r="C8" s="9">
        <f>B8*3</f>
        <v/>
      </c>
      <c r="D8" s="8">
        <f>파라미터!$B$6*파라미터!$B$4^(A8-1)</f>
        <v/>
      </c>
      <c r="E8" s="9">
        <f>D8*3</f>
        <v/>
      </c>
      <c r="F8" s="8">
        <f>파라미터!$B$7*파라미터!$B$4^(A8-1)</f>
        <v/>
      </c>
      <c r="G8" s="9">
        <f>F8*3</f>
        <v/>
      </c>
      <c r="H8" s="9">
        <f>E8+G8</f>
        <v/>
      </c>
    </row>
    <row r="9">
      <c r="A9" s="7" t="n">
        <v>6</v>
      </c>
      <c r="B9" s="8">
        <f>파라미터!$B$5*파라미터!$B$4^(A9-1)</f>
        <v/>
      </c>
      <c r="C9" s="9">
        <f>B9*3</f>
        <v/>
      </c>
      <c r="D9" s="8">
        <f>파라미터!$B$6*파라미터!$B$4^(A9-1)</f>
        <v/>
      </c>
      <c r="E9" s="9">
        <f>D9*3</f>
        <v/>
      </c>
      <c r="F9" s="8">
        <f>파라미터!$B$7*파라미터!$B$4^(A9-1)</f>
        <v/>
      </c>
      <c r="G9" s="9">
        <f>F9*3</f>
        <v/>
      </c>
      <c r="H9" s="9">
        <f>E9+G9</f>
        <v/>
      </c>
    </row>
    <row r="10">
      <c r="A10" s="7" t="n">
        <v>7</v>
      </c>
      <c r="B10" s="8">
        <f>파라미터!$B$5*파라미터!$B$4^(A10-1)</f>
        <v/>
      </c>
      <c r="C10" s="9">
        <f>B10*3</f>
        <v/>
      </c>
      <c r="D10" s="8">
        <f>파라미터!$B$6*파라미터!$B$4^(A10-1)</f>
        <v/>
      </c>
      <c r="E10" s="9">
        <f>D10*3</f>
        <v/>
      </c>
      <c r="F10" s="8">
        <f>파라미터!$B$7*파라미터!$B$4^(A10-1)</f>
        <v/>
      </c>
      <c r="G10" s="9">
        <f>F10*3</f>
        <v/>
      </c>
      <c r="H10" s="9">
        <f>E10+G10</f>
        <v/>
      </c>
    </row>
    <row r="11">
      <c r="A11" s="7" t="n">
        <v>8</v>
      </c>
      <c r="B11" s="8">
        <f>파라미터!$B$5*파라미터!$B$4^(A11-1)</f>
        <v/>
      </c>
      <c r="C11" s="9">
        <f>B11*3</f>
        <v/>
      </c>
      <c r="D11" s="8">
        <f>파라미터!$B$6*파라미터!$B$4^(A11-1)</f>
        <v/>
      </c>
      <c r="E11" s="9">
        <f>D11*3</f>
        <v/>
      </c>
      <c r="F11" s="8">
        <f>파라미터!$B$7*파라미터!$B$4^(A11-1)</f>
        <v/>
      </c>
      <c r="G11" s="9">
        <f>F11*3</f>
        <v/>
      </c>
      <c r="H11" s="9">
        <f>E11+G11</f>
        <v/>
      </c>
    </row>
    <row r="12">
      <c r="A12" s="7" t="n">
        <v>9</v>
      </c>
      <c r="B12" s="8">
        <f>파라미터!$B$5*파라미터!$B$4^(A12-1)</f>
        <v/>
      </c>
      <c r="C12" s="9">
        <f>B12*3</f>
        <v/>
      </c>
      <c r="D12" s="8">
        <f>파라미터!$B$6*파라미터!$B$4^(A12-1)</f>
        <v/>
      </c>
      <c r="E12" s="9">
        <f>D12*3</f>
        <v/>
      </c>
      <c r="F12" s="8">
        <f>파라미터!$B$7*파라미터!$B$4^(A12-1)</f>
        <v/>
      </c>
      <c r="G12" s="9">
        <f>F12*3</f>
        <v/>
      </c>
      <c r="H12" s="9">
        <f>E12+G12</f>
        <v/>
      </c>
    </row>
    <row r="13">
      <c r="A13" s="7" t="n">
        <v>10</v>
      </c>
      <c r="B13" s="8">
        <f>파라미터!$B$5*파라미터!$B$4^(A13-1)</f>
        <v/>
      </c>
      <c r="C13" s="9">
        <f>B13*3</f>
        <v/>
      </c>
      <c r="D13" s="8">
        <f>파라미터!$B$6*파라미터!$B$4^(A13-1)</f>
        <v/>
      </c>
      <c r="E13" s="9">
        <f>D13*3</f>
        <v/>
      </c>
      <c r="F13" s="8">
        <f>파라미터!$B$7*파라미터!$B$4^(A13-1)</f>
        <v/>
      </c>
      <c r="G13" s="9">
        <f>F13*3</f>
        <v/>
      </c>
      <c r="H13" s="9">
        <f>E13+G13</f>
        <v/>
      </c>
    </row>
    <row r="15">
      <c r="A15" s="5" t="inlineStr">
        <is>
          <t>데미지 장비 = 무기·보조·모자 / 방어 장비 = 방어구·기타·벨트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8" customWidth="1" min="5" max="5"/>
    <col width="14" customWidth="1" min="6" max="6"/>
  </cols>
  <sheetData>
    <row r="1">
      <c r="A1" s="1" t="inlineStr">
        <is>
          <t>특수아이템(아르카나/어비스) 누적 스택 효과</t>
        </is>
      </c>
    </row>
    <row r="3">
      <c r="A3" s="2" t="inlineStr">
        <is>
          <t>보유개수</t>
        </is>
      </c>
      <c r="B3" s="2" t="inlineStr">
        <is>
          <t>데미지배수</t>
        </is>
      </c>
      <c r="C3" s="2" t="inlineStr">
        <is>
          <t>경험치배수</t>
        </is>
      </c>
      <c r="D3" s="2" t="inlineStr">
        <is>
          <t>대표던전 CPR(장비풀셋 기준)</t>
        </is>
      </c>
      <c r="E3" s="2" t="inlineStr">
        <is>
          <t>목표시 기대 런수</t>
        </is>
      </c>
      <c r="F3" s="2" t="inlineStr">
        <is>
          <t>기대 시간(시)</t>
        </is>
      </c>
    </row>
    <row r="4">
      <c r="A4" s="10" t="n">
        <v>100</v>
      </c>
      <c r="B4" s="11" t="n">
        <v>1.15</v>
      </c>
      <c r="C4" s="11" t="n">
        <v>1.1</v>
      </c>
      <c r="D4" s="12">
        <f>파라미터!$B$22*B4</f>
        <v/>
      </c>
      <c r="E4" s="8">
        <f>A4/(파라미터!$B$13*파라미터!$B$17)</f>
        <v/>
      </c>
      <c r="F4" s="13">
        <f>E4*파라미터!$B$21/60</f>
        <v/>
      </c>
    </row>
    <row r="5">
      <c r="A5" s="10" t="n">
        <v>200</v>
      </c>
      <c r="B5" s="11" t="n">
        <v>1.22</v>
      </c>
      <c r="C5" s="11" t="n">
        <v>1.18</v>
      </c>
      <c r="D5" s="12">
        <f>파라미터!$B$22*B5</f>
        <v/>
      </c>
      <c r="E5" s="8">
        <f>A5/(파라미터!$B$13*파라미터!$B$17)</f>
        <v/>
      </c>
      <c r="F5" s="13">
        <f>E5*파라미터!$B$21/60</f>
        <v/>
      </c>
    </row>
    <row r="6">
      <c r="A6" s="10" t="n">
        <v>300</v>
      </c>
      <c r="B6" s="11" t="n">
        <v>1.3</v>
      </c>
      <c r="C6" s="11" t="n">
        <v>1.28</v>
      </c>
      <c r="D6" s="12">
        <f>파라미터!$B$22*B6</f>
        <v/>
      </c>
      <c r="E6" s="8">
        <f>A6/(파라미터!$B$13*파라미터!$B$17)</f>
        <v/>
      </c>
      <c r="F6" s="13">
        <f>E6*파라미터!$B$21/60</f>
        <v/>
      </c>
    </row>
    <row r="7">
      <c r="A7" s="10" t="n">
        <v>500</v>
      </c>
      <c r="B7" s="11" t="n">
        <v>1.42</v>
      </c>
      <c r="C7" s="11" t="n">
        <v>1.45</v>
      </c>
      <c r="D7" s="12">
        <f>파라미터!$B$22*B7</f>
        <v/>
      </c>
      <c r="E7" s="8">
        <f>A7/(파라미터!$B$13*파라미터!$B$17)</f>
        <v/>
      </c>
      <c r="F7" s="13">
        <f>E7*파라미터!$B$21/60</f>
        <v/>
      </c>
    </row>
    <row r="8">
      <c r="A8" s="10" t="n">
        <v>1000</v>
      </c>
      <c r="B8" s="11" t="n">
        <v>1.6</v>
      </c>
      <c r="C8" s="11" t="n">
        <v>1.8</v>
      </c>
      <c r="D8" s="12">
        <f>파라미터!$B$22*B8</f>
        <v/>
      </c>
      <c r="E8" s="8">
        <f>A8/(파라미터!$B$13*파라미터!$B$17)</f>
        <v/>
      </c>
      <c r="F8" s="13">
        <f>E8*파라미터!$B$21/60</f>
        <v/>
      </c>
    </row>
    <row r="9">
      <c r="A9" s="10" t="n">
        <v>2000</v>
      </c>
      <c r="B9" s="11" t="n">
        <v>1.75</v>
      </c>
      <c r="C9" s="11" t="n">
        <v>2.3</v>
      </c>
      <c r="D9" s="12">
        <f>파라미터!$B$22*B9</f>
        <v/>
      </c>
      <c r="E9" s="8">
        <f>A9/(파라미터!$B$13*파라미터!$B$17)</f>
        <v/>
      </c>
      <c r="F9" s="13">
        <f>E9*파라미터!$B$21/60</f>
        <v/>
      </c>
    </row>
    <row r="10">
      <c r="A10" s="10" t="n">
        <v>4000</v>
      </c>
      <c r="B10" s="11" t="n">
        <v>1.9</v>
      </c>
      <c r="C10" s="11" t="n">
        <v>3</v>
      </c>
      <c r="D10" s="12">
        <f>파라미터!$B$22*B10</f>
        <v/>
      </c>
      <c r="E10" s="8">
        <f>A10/(파라미터!$B$13*파라미터!$B$17)</f>
        <v/>
      </c>
      <c r="F10" s="13">
        <f>E10*파라미터!$B$21/60</f>
        <v/>
      </c>
    </row>
    <row r="12">
      <c r="A12" s="5" t="inlineStr">
        <is>
          <t>풀스택 데미지배수 1.90 &lt; 티어 성장배수 2.50 → 풀스택해도 다음 던전 기본치보다 약함(스킵 방지)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2" customWidth="1" min="4" max="4"/>
    <col width="18" customWidth="1" min="5" max="5"/>
  </cols>
  <sheetData>
    <row r="1">
      <c r="A1" s="1" t="inlineStr">
        <is>
          <t>클리어 시간 곡선 (네 예시 15/14/13/12/10/7/5 그대로 반영)</t>
        </is>
      </c>
    </row>
    <row r="3">
      <c r="A3" s="2" t="inlineStr">
        <is>
          <t>대표 상황(현티어 아르카나)</t>
        </is>
      </c>
      <c r="B3" s="2" t="inlineStr">
        <is>
          <t>데미지배수</t>
        </is>
      </c>
      <c r="C3" s="2" t="inlineStr">
        <is>
          <t>대표던전 CPR</t>
        </is>
      </c>
      <c r="D3" s="2" t="inlineStr">
        <is>
          <t>클리어 시간(분) [기준]</t>
        </is>
      </c>
      <c r="E3" s="2" t="inlineStr">
        <is>
          <t>연속근사식(분)</t>
        </is>
      </c>
    </row>
    <row r="4">
      <c r="A4" s="3" t="inlineStr">
        <is>
          <t>이전티어 풀셋 입장</t>
        </is>
      </c>
      <c r="B4" s="7" t="inlineStr">
        <is>
          <t>-</t>
        </is>
      </c>
      <c r="C4" s="11" t="n">
        <v>1</v>
      </c>
      <c r="D4" s="4" t="n">
        <v>20</v>
      </c>
      <c r="E4" s="14">
        <f>MAX(파라미터!$B$10,MIN(파라미터!$B$9,파라미터!$B$9-11.35*LOG(C4,2)))</f>
        <v/>
      </c>
    </row>
    <row r="5">
      <c r="A5" s="3" t="inlineStr">
        <is>
          <t>아르카나 100</t>
        </is>
      </c>
      <c r="B5" s="11" t="n">
        <v>1.15</v>
      </c>
      <c r="C5" s="12">
        <f>파라미터!$B$22*B5</f>
        <v/>
      </c>
      <c r="D5" s="4" t="n">
        <v>15</v>
      </c>
      <c r="E5" s="14">
        <f>MAX(파라미터!$B$10,MIN(파라미터!$B$9,파라미터!$B$9-11.35*LOG(C5,2)))</f>
        <v/>
      </c>
    </row>
    <row r="6">
      <c r="A6" s="3" t="inlineStr">
        <is>
          <t>아르카나 200</t>
        </is>
      </c>
      <c r="B6" s="11" t="n">
        <v>1.22</v>
      </c>
      <c r="C6" s="12">
        <f>파라미터!$B$22*B6</f>
        <v/>
      </c>
      <c r="D6" s="4" t="n">
        <v>14</v>
      </c>
      <c r="E6" s="14">
        <f>MAX(파라미터!$B$10,MIN(파라미터!$B$9,파라미터!$B$9-11.35*LOG(C6,2)))</f>
        <v/>
      </c>
    </row>
    <row r="7">
      <c r="A7" s="3" t="inlineStr">
        <is>
          <t>아르카나 300</t>
        </is>
      </c>
      <c r="B7" s="11" t="n">
        <v>1.3</v>
      </c>
      <c r="C7" s="12">
        <f>파라미터!$B$22*B7</f>
        <v/>
      </c>
      <c r="D7" s="4" t="n">
        <v>13</v>
      </c>
      <c r="E7" s="14">
        <f>MAX(파라미터!$B$10,MIN(파라미터!$B$9,파라미터!$B$9-11.35*LOG(C7,2)))</f>
        <v/>
      </c>
    </row>
    <row r="8">
      <c r="A8" s="3" t="inlineStr">
        <is>
          <t>아르카나 500</t>
        </is>
      </c>
      <c r="B8" s="11" t="n">
        <v>1.42</v>
      </c>
      <c r="C8" s="12">
        <f>파라미터!$B$22*B8</f>
        <v/>
      </c>
      <c r="D8" s="4" t="n">
        <v>12</v>
      </c>
      <c r="E8" s="14">
        <f>MAX(파라미터!$B$10,MIN(파라미터!$B$9,파라미터!$B$9-11.35*LOG(C8,2)))</f>
        <v/>
      </c>
    </row>
    <row r="9">
      <c r="A9" s="3" t="inlineStr">
        <is>
          <t>아르카나 1000</t>
        </is>
      </c>
      <c r="B9" s="11" t="n">
        <v>1.6</v>
      </c>
      <c r="C9" s="12">
        <f>파라미터!$B$22*B9</f>
        <v/>
      </c>
      <c r="D9" s="4" t="n">
        <v>10</v>
      </c>
      <c r="E9" s="14">
        <f>MAX(파라미터!$B$10,MIN(파라미터!$B$9,파라미터!$B$9-11.35*LOG(C9,2)))</f>
        <v/>
      </c>
    </row>
    <row r="10">
      <c r="A10" s="3" t="inlineStr">
        <is>
          <t>아르카나 2000</t>
        </is>
      </c>
      <c r="B10" s="11" t="n">
        <v>1.75</v>
      </c>
      <c r="C10" s="12">
        <f>파라미터!$B$22*B10</f>
        <v/>
      </c>
      <c r="D10" s="4" t="n">
        <v>7</v>
      </c>
      <c r="E10" s="14">
        <f>MAX(파라미터!$B$10,MIN(파라미터!$B$9,파라미터!$B$9-11.35*LOG(C10,2)))</f>
        <v/>
      </c>
    </row>
    <row r="11">
      <c r="A11" s="3" t="inlineStr">
        <is>
          <t>아르카나 4000</t>
        </is>
      </c>
      <c r="B11" s="11" t="n">
        <v>1.9</v>
      </c>
      <c r="C11" s="12">
        <f>파라미터!$B$22*B11</f>
        <v/>
      </c>
      <c r="D11" s="4" t="n">
        <v>5</v>
      </c>
      <c r="E11" s="14">
        <f>MAX(파라미터!$B$10,MIN(파라미터!$B$9,파라미터!$B$9-11.35*LOG(C11,2)))</f>
        <v/>
      </c>
    </row>
    <row r="13">
      <c r="A13" s="5" t="inlineStr">
        <is>
          <t>시간(분) 열이 '정답' 룩업표. 연속근사식은 다른티어 일반화/구현 참고용 (T = clamp(5,20, 20 - 11.35·log2(CPR)))</t>
        </is>
      </c>
    </row>
    <row r="14">
      <c r="A14" s="5" t="inlineStr">
        <is>
          <t>CPR = 내 데미지 ÷ 던전 요구데미지(20분 기준). 티어 무관하게 동일 곡선 적용.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던전별 요구 스펙 (일반 10 / 보스 10 별개 트랙)</t>
        </is>
      </c>
    </row>
    <row r="3">
      <c r="A3" s="2" t="inlineStr">
        <is>
          <t>트랙</t>
        </is>
      </c>
      <c r="B3" s="2" t="inlineStr">
        <is>
          <t>단계</t>
        </is>
      </c>
      <c r="C3" s="2" t="inlineStr">
        <is>
          <t>요구데미지 min(20분컷)</t>
        </is>
      </c>
      <c r="D3" s="2" t="inlineStr">
        <is>
          <t>요구데미지 max(하드클리어)</t>
        </is>
      </c>
      <c r="E3" s="2" t="inlineStr">
        <is>
          <t>생존요구 min</t>
        </is>
      </c>
      <c r="F3" s="2" t="inlineStr">
        <is>
          <t>생존요구 max</t>
        </is>
      </c>
    </row>
    <row r="4">
      <c r="A4" s="7" t="inlineStr">
        <is>
          <t>일반</t>
        </is>
      </c>
      <c r="B4" s="7" t="n">
        <v>1</v>
      </c>
      <c r="C4" s="8">
        <f>파라미터!$B$5</f>
        <v/>
      </c>
      <c r="D4" s="8">
        <f>C4*파라미터!$B$12</f>
        <v/>
      </c>
      <c r="E4" s="8">
        <f>장비_티어!H4*0.4</f>
        <v/>
      </c>
      <c r="F4" s="8">
        <f>E4*파라미터!$B$12</f>
        <v/>
      </c>
    </row>
    <row r="5">
      <c r="A5" s="7" t="inlineStr">
        <is>
          <t>일반</t>
        </is>
      </c>
      <c r="B5" s="7" t="n">
        <v>2</v>
      </c>
      <c r="C5" s="8">
        <f>장비_티어!C4*파라미터!$B$8</f>
        <v/>
      </c>
      <c r="D5" s="8">
        <f>C5*파라미터!$B$12</f>
        <v/>
      </c>
      <c r="E5" s="8">
        <f>장비_티어!H4</f>
        <v/>
      </c>
      <c r="F5" s="8">
        <f>E5*파라미터!$B$12</f>
        <v/>
      </c>
    </row>
    <row r="6">
      <c r="A6" s="7" t="inlineStr">
        <is>
          <t>일반</t>
        </is>
      </c>
      <c r="B6" s="7" t="n">
        <v>3</v>
      </c>
      <c r="C6" s="8">
        <f>장비_티어!C5*파라미터!$B$8</f>
        <v/>
      </c>
      <c r="D6" s="8">
        <f>C6*파라미터!$B$12</f>
        <v/>
      </c>
      <c r="E6" s="8">
        <f>장비_티어!H5</f>
        <v/>
      </c>
      <c r="F6" s="8">
        <f>E6*파라미터!$B$12</f>
        <v/>
      </c>
    </row>
    <row r="7">
      <c r="A7" s="7" t="inlineStr">
        <is>
          <t>일반</t>
        </is>
      </c>
      <c r="B7" s="7" t="n">
        <v>4</v>
      </c>
      <c r="C7" s="8">
        <f>장비_티어!C6*파라미터!$B$8</f>
        <v/>
      </c>
      <c r="D7" s="8">
        <f>C7*파라미터!$B$12</f>
        <v/>
      </c>
      <c r="E7" s="8">
        <f>장비_티어!H6</f>
        <v/>
      </c>
      <c r="F7" s="8">
        <f>E7*파라미터!$B$12</f>
        <v/>
      </c>
    </row>
    <row r="8">
      <c r="A8" s="7" t="inlineStr">
        <is>
          <t>일반</t>
        </is>
      </c>
      <c r="B8" s="7" t="n">
        <v>5</v>
      </c>
      <c r="C8" s="8">
        <f>장비_티어!C7*파라미터!$B$8</f>
        <v/>
      </c>
      <c r="D8" s="8">
        <f>C8*파라미터!$B$12</f>
        <v/>
      </c>
      <c r="E8" s="8">
        <f>장비_티어!H7</f>
        <v/>
      </c>
      <c r="F8" s="8">
        <f>E8*파라미터!$B$12</f>
        <v/>
      </c>
    </row>
    <row r="9">
      <c r="A9" s="7" t="inlineStr">
        <is>
          <t>일반</t>
        </is>
      </c>
      <c r="B9" s="7" t="n">
        <v>6</v>
      </c>
      <c r="C9" s="8">
        <f>장비_티어!C8*파라미터!$B$8</f>
        <v/>
      </c>
      <c r="D9" s="8">
        <f>C9*파라미터!$B$12</f>
        <v/>
      </c>
      <c r="E9" s="8">
        <f>장비_티어!H8</f>
        <v/>
      </c>
      <c r="F9" s="8">
        <f>E9*파라미터!$B$12</f>
        <v/>
      </c>
    </row>
    <row r="10">
      <c r="A10" s="7" t="inlineStr">
        <is>
          <t>일반</t>
        </is>
      </c>
      <c r="B10" s="7" t="n">
        <v>7</v>
      </c>
      <c r="C10" s="8">
        <f>장비_티어!C9*파라미터!$B$8</f>
        <v/>
      </c>
      <c r="D10" s="8">
        <f>C10*파라미터!$B$12</f>
        <v/>
      </c>
      <c r="E10" s="8">
        <f>장비_티어!H9</f>
        <v/>
      </c>
      <c r="F10" s="8">
        <f>E10*파라미터!$B$12</f>
        <v/>
      </c>
    </row>
    <row r="11">
      <c r="A11" s="7" t="inlineStr">
        <is>
          <t>일반</t>
        </is>
      </c>
      <c r="B11" s="7" t="n">
        <v>8</v>
      </c>
      <c r="C11" s="8">
        <f>장비_티어!C10*파라미터!$B$8</f>
        <v/>
      </c>
      <c r="D11" s="8">
        <f>C11*파라미터!$B$12</f>
        <v/>
      </c>
      <c r="E11" s="8">
        <f>장비_티어!H10</f>
        <v/>
      </c>
      <c r="F11" s="8">
        <f>E11*파라미터!$B$12</f>
        <v/>
      </c>
    </row>
    <row r="12">
      <c r="A12" s="7" t="inlineStr">
        <is>
          <t>일반</t>
        </is>
      </c>
      <c r="B12" s="7" t="n">
        <v>9</v>
      </c>
      <c r="C12" s="8">
        <f>장비_티어!C11*파라미터!$B$8</f>
        <v/>
      </c>
      <c r="D12" s="8">
        <f>C12*파라미터!$B$12</f>
        <v/>
      </c>
      <c r="E12" s="8">
        <f>장비_티어!H11</f>
        <v/>
      </c>
      <c r="F12" s="8">
        <f>E12*파라미터!$B$12</f>
        <v/>
      </c>
    </row>
    <row r="13">
      <c r="A13" s="7" t="inlineStr">
        <is>
          <t>일반</t>
        </is>
      </c>
      <c r="B13" s="7" t="n">
        <v>10</v>
      </c>
      <c r="C13" s="8">
        <f>장비_티어!C12*파라미터!$B$8</f>
        <v/>
      </c>
      <c r="D13" s="8">
        <f>C13*파라미터!$B$12</f>
        <v/>
      </c>
      <c r="E13" s="8">
        <f>장비_티어!H12</f>
        <v/>
      </c>
      <c r="F13" s="8">
        <f>E13*파라미터!$B$12</f>
        <v/>
      </c>
    </row>
    <row r="14">
      <c r="A14" s="7" t="inlineStr">
        <is>
          <t>보스</t>
        </is>
      </c>
      <c r="B14" s="7" t="n">
        <v>1</v>
      </c>
      <c r="C14" s="8">
        <f>C4*파라미터!$B$23</f>
        <v/>
      </c>
      <c r="D14" s="8">
        <f>D4*파라미터!$B$23</f>
        <v/>
      </c>
      <c r="E14" s="8">
        <f>E4*파라미터!$B$23</f>
        <v/>
      </c>
      <c r="F14" s="8">
        <f>F4*파라미터!$B$23</f>
        <v/>
      </c>
    </row>
    <row r="15">
      <c r="A15" s="7" t="inlineStr">
        <is>
          <t>보스</t>
        </is>
      </c>
      <c r="B15" s="7" t="n">
        <v>2</v>
      </c>
      <c r="C15" s="8">
        <f>C5*파라미터!$B$23</f>
        <v/>
      </c>
      <c r="D15" s="8">
        <f>D5*파라미터!$B$23</f>
        <v/>
      </c>
      <c r="E15" s="8">
        <f>E5*파라미터!$B$23</f>
        <v/>
      </c>
      <c r="F15" s="8">
        <f>F5*파라미터!$B$23</f>
        <v/>
      </c>
    </row>
    <row r="16">
      <c r="A16" s="7" t="inlineStr">
        <is>
          <t>보스</t>
        </is>
      </c>
      <c r="B16" s="7" t="n">
        <v>3</v>
      </c>
      <c r="C16" s="8">
        <f>C6*파라미터!$B$23</f>
        <v/>
      </c>
      <c r="D16" s="8">
        <f>D6*파라미터!$B$23</f>
        <v/>
      </c>
      <c r="E16" s="8">
        <f>E6*파라미터!$B$23</f>
        <v/>
      </c>
      <c r="F16" s="8">
        <f>F6*파라미터!$B$23</f>
        <v/>
      </c>
    </row>
    <row r="17">
      <c r="A17" s="7" t="inlineStr">
        <is>
          <t>보스</t>
        </is>
      </c>
      <c r="B17" s="7" t="n">
        <v>4</v>
      </c>
      <c r="C17" s="8">
        <f>C7*파라미터!$B$23</f>
        <v/>
      </c>
      <c r="D17" s="8">
        <f>D7*파라미터!$B$23</f>
        <v/>
      </c>
      <c r="E17" s="8">
        <f>E7*파라미터!$B$23</f>
        <v/>
      </c>
      <c r="F17" s="8">
        <f>F7*파라미터!$B$23</f>
        <v/>
      </c>
    </row>
    <row r="18">
      <c r="A18" s="7" t="inlineStr">
        <is>
          <t>보스</t>
        </is>
      </c>
      <c r="B18" s="7" t="n">
        <v>5</v>
      </c>
      <c r="C18" s="8">
        <f>C8*파라미터!$B$23</f>
        <v/>
      </c>
      <c r="D18" s="8">
        <f>D8*파라미터!$B$23</f>
        <v/>
      </c>
      <c r="E18" s="8">
        <f>E8*파라미터!$B$23</f>
        <v/>
      </c>
      <c r="F18" s="8">
        <f>F8*파라미터!$B$23</f>
        <v/>
      </c>
    </row>
    <row r="19">
      <c r="A19" s="7" t="inlineStr">
        <is>
          <t>보스</t>
        </is>
      </c>
      <c r="B19" s="7" t="n">
        <v>6</v>
      </c>
      <c r="C19" s="8">
        <f>C9*파라미터!$B$23</f>
        <v/>
      </c>
      <c r="D19" s="8">
        <f>D9*파라미터!$B$23</f>
        <v/>
      </c>
      <c r="E19" s="8">
        <f>E9*파라미터!$B$23</f>
        <v/>
      </c>
      <c r="F19" s="8">
        <f>F9*파라미터!$B$23</f>
        <v/>
      </c>
    </row>
    <row r="20">
      <c r="A20" s="7" t="inlineStr">
        <is>
          <t>보스</t>
        </is>
      </c>
      <c r="B20" s="7" t="n">
        <v>7</v>
      </c>
      <c r="C20" s="8">
        <f>C10*파라미터!$B$23</f>
        <v/>
      </c>
      <c r="D20" s="8">
        <f>D10*파라미터!$B$23</f>
        <v/>
      </c>
      <c r="E20" s="8">
        <f>E10*파라미터!$B$23</f>
        <v/>
      </c>
      <c r="F20" s="8">
        <f>F10*파라미터!$B$23</f>
        <v/>
      </c>
    </row>
    <row r="21">
      <c r="A21" s="7" t="inlineStr">
        <is>
          <t>보스</t>
        </is>
      </c>
      <c r="B21" s="7" t="n">
        <v>8</v>
      </c>
      <c r="C21" s="8">
        <f>C11*파라미터!$B$23</f>
        <v/>
      </c>
      <c r="D21" s="8">
        <f>D11*파라미터!$B$23</f>
        <v/>
      </c>
      <c r="E21" s="8">
        <f>E11*파라미터!$B$23</f>
        <v/>
      </c>
      <c r="F21" s="8">
        <f>F11*파라미터!$B$23</f>
        <v/>
      </c>
    </row>
    <row r="22">
      <c r="A22" s="7" t="inlineStr">
        <is>
          <t>보스</t>
        </is>
      </c>
      <c r="B22" s="7" t="n">
        <v>9</v>
      </c>
      <c r="C22" s="8">
        <f>C12*파라미터!$B$23</f>
        <v/>
      </c>
      <c r="D22" s="8">
        <f>D12*파라미터!$B$23</f>
        <v/>
      </c>
      <c r="E22" s="8">
        <f>E12*파라미터!$B$23</f>
        <v/>
      </c>
      <c r="F22" s="8">
        <f>F12*파라미터!$B$23</f>
        <v/>
      </c>
    </row>
    <row r="23">
      <c r="A23" s="7" t="inlineStr">
        <is>
          <t>보스</t>
        </is>
      </c>
      <c r="B23" s="7" t="n">
        <v>10</v>
      </c>
      <c r="C23" s="8">
        <f>C13*파라미터!$B$23</f>
        <v/>
      </c>
      <c r="D23" s="8">
        <f>D13*파라미터!$B$23</f>
        <v/>
      </c>
      <c r="E23" s="8">
        <f>E13*파라미터!$B$23</f>
        <v/>
      </c>
      <c r="F23" s="8">
        <f>F13*파라미터!$B$23</f>
        <v/>
      </c>
    </row>
    <row r="25">
      <c r="A25" s="5" t="inlineStr">
        <is>
          <t>요구데미지 min = 이전티어 장비 풀셋 데미지 × 아르카나 풀스택(1.9). max = min × 2.5(하드클리어).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성공확률 모델 (컷 근처면 실패 섞임, 스펙 충분하면 100%)</t>
        </is>
      </c>
    </row>
    <row r="3">
      <c r="A3" s="15" t="inlineStr">
        <is>
          <t>공식:  성공확률 = p_dmg × p_sur ,  둘 다 1.0이면 100%</t>
        </is>
      </c>
    </row>
    <row r="4">
      <c r="A4" s="16" t="inlineStr">
        <is>
          <t>p_dmg = clamp01( (내데미지 - 요구min) / (요구max - 요구min) )</t>
        </is>
      </c>
    </row>
    <row r="5">
      <c r="A5" s="16" t="inlineStr">
        <is>
          <t>p_sur = clamp01( (내방어+체력 - 생존min) / (생존max - 생존min) )</t>
        </is>
      </c>
    </row>
    <row r="7">
      <c r="A7" s="2" t="inlineStr">
        <is>
          <t>예시 케이스</t>
        </is>
      </c>
      <c r="B7" s="2" t="inlineStr">
        <is>
          <t>대상 던전(일반)</t>
        </is>
      </c>
      <c r="C7" s="2" t="inlineStr">
        <is>
          <t>내 데미지</t>
        </is>
      </c>
      <c r="D7" s="2" t="inlineStr">
        <is>
          <t>내 방어+체력</t>
        </is>
      </c>
      <c r="E7" s="2" t="inlineStr">
        <is>
          <t>p_dmg</t>
        </is>
      </c>
      <c r="F7" s="2" t="inlineStr">
        <is>
          <t>p_sur</t>
        </is>
      </c>
      <c r="G7" s="2" t="inlineStr">
        <is>
          <t>성공확률</t>
        </is>
      </c>
    </row>
    <row r="8">
      <c r="A8" s="3" t="inlineStr">
        <is>
          <t>간신히 컷</t>
        </is>
      </c>
      <c r="B8" s="7" t="n">
        <v>2</v>
      </c>
      <c r="C8" s="17">
        <f>던전_요구치!C5*1.05</f>
        <v/>
      </c>
      <c r="D8" s="17">
        <f>던전_요구치!E5*1.05</f>
        <v/>
      </c>
      <c r="E8" s="18">
        <f>MAX(0,MIN(1,(C8-던전_요구치!C5)/(던전_요구치!D5-던전_요구치!C5)))</f>
        <v/>
      </c>
      <c r="F8" s="18">
        <f>MAX(0,MIN(1,(D8-던전_요구치!E5)/(던전_요구치!F5-던전_요구치!E5)))</f>
        <v/>
      </c>
      <c r="G8" s="19">
        <f>E8*F8</f>
        <v/>
      </c>
    </row>
    <row r="9">
      <c r="A9" s="3" t="inlineStr">
        <is>
          <t>어중간</t>
        </is>
      </c>
      <c r="B9" s="7" t="n">
        <v>2</v>
      </c>
      <c r="C9" s="17">
        <f>던전_요구치!C5*1.6</f>
        <v/>
      </c>
      <c r="D9" s="17">
        <f>던전_요구치!E5*1.6</f>
        <v/>
      </c>
      <c r="E9" s="18">
        <f>MAX(0,MIN(1,(C9-던전_요구치!C5)/(던전_요구치!D5-던전_요구치!C5)))</f>
        <v/>
      </c>
      <c r="F9" s="18">
        <f>MAX(0,MIN(1,(D9-던전_요구치!E5)/(던전_요구치!F5-던전_요구치!E5)))</f>
        <v/>
      </c>
      <c r="G9" s="19">
        <f>E9*F9</f>
        <v/>
      </c>
    </row>
    <row r="10">
      <c r="A10" s="3" t="inlineStr">
        <is>
          <t>풀스펙</t>
        </is>
      </c>
      <c r="B10" s="7" t="n">
        <v>2</v>
      </c>
      <c r="C10" s="17">
        <f>던전_요구치!D5*1.05</f>
        <v/>
      </c>
      <c r="D10" s="17">
        <f>던전_요구치!F5*1.05</f>
        <v/>
      </c>
      <c r="E10" s="18">
        <f>MAX(0,MIN(1,(C10-던전_요구치!C5)/(던전_요구치!D5-던전_요구치!C5)))</f>
        <v/>
      </c>
      <c r="F10" s="18">
        <f>MAX(0,MIN(1,(D10-던전_요구치!E5)/(던전_요구치!F5-던전_요구치!E5)))</f>
        <v/>
      </c>
      <c r="G10" s="19">
        <f>E10*F10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보스 스킬 진화 (캐릭터 2명 / 각 3개 = 보스 3·6·9 던전 드랍)</t>
        </is>
      </c>
    </row>
    <row r="3">
      <c r="A3" s="2" t="inlineStr">
        <is>
          <t>획득 보스던전</t>
        </is>
      </c>
      <c r="B3" s="2" t="inlineStr">
        <is>
          <t>스킬</t>
        </is>
      </c>
      <c r="C3" s="2" t="inlineStr">
        <is>
          <t>개당 데미지배수</t>
        </is>
      </c>
      <c r="D3" s="2" t="inlineStr">
        <is>
          <t>누적 데미지배수</t>
        </is>
      </c>
    </row>
    <row r="4">
      <c r="A4" s="20" t="inlineStr">
        <is>
          <t>보스 3단계</t>
        </is>
      </c>
      <c r="B4" s="20" t="inlineStr">
        <is>
          <t>스킬 진화 1</t>
        </is>
      </c>
      <c r="C4" s="12">
        <f>파라미터!$B$11</f>
        <v/>
      </c>
      <c r="D4" s="21">
        <f>C4</f>
        <v/>
      </c>
    </row>
    <row r="5">
      <c r="A5" s="20" t="inlineStr">
        <is>
          <t>보스 6단계</t>
        </is>
      </c>
      <c r="B5" s="20" t="inlineStr">
        <is>
          <t>스킬 진화 2</t>
        </is>
      </c>
      <c r="C5" s="12">
        <f>파라미터!$B$11</f>
        <v/>
      </c>
      <c r="D5" s="21">
        <f>D4*C5</f>
        <v/>
      </c>
    </row>
    <row r="6">
      <c r="A6" s="20" t="inlineStr">
        <is>
          <t>보스 9단계</t>
        </is>
      </c>
      <c r="B6" s="20" t="inlineStr">
        <is>
          <t>스킬 진화 3</t>
        </is>
      </c>
      <c r="C6" s="12">
        <f>파라미터!$B$11</f>
        <v/>
      </c>
      <c r="D6" s="21">
        <f>D5*C6</f>
        <v/>
      </c>
    </row>
    <row r="8">
      <c r="A8" s="5" t="inlineStr">
        <is>
          <t>3개 모두 획득 시 데미지 × 1.728 (1.2^3). 캐릭터별로 각자 진화.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드랍 테이블 &amp; 조합법 (기대 런수/시간 = 핵심 튜닝 지표)</t>
        </is>
      </c>
    </row>
    <row r="3">
      <c r="A3" s="15" t="inlineStr">
        <is>
          <t>■ 드랍 테이블</t>
        </is>
      </c>
    </row>
    <row r="4">
      <c r="A4" s="2" t="inlineStr">
        <is>
          <t>던전</t>
        </is>
      </c>
      <c r="B4" s="2" t="inlineStr">
        <is>
          <t>드랍 항목</t>
        </is>
      </c>
      <c r="C4" s="2" t="inlineStr">
        <is>
          <t>확률</t>
        </is>
      </c>
      <c r="D4" s="2" t="inlineStr">
        <is>
          <t>1개 기대 런수</t>
        </is>
      </c>
      <c r="E4" s="2" t="inlineStr">
        <is>
          <t>1개 기대 시간(시)</t>
        </is>
      </c>
    </row>
    <row r="5">
      <c r="A5" s="7" t="inlineStr">
        <is>
          <t>일반</t>
        </is>
      </c>
      <c r="B5" s="20" t="inlineStr">
        <is>
          <t>특수아이템(아르카나/어비스)</t>
        </is>
      </c>
      <c r="C5" s="18">
        <f>파라미터!$B$13</f>
        <v/>
      </c>
      <c r="D5" s="22">
        <f>1/C5</f>
        <v/>
      </c>
      <c r="E5" s="13">
        <f>D5*파라미터!$B$21/60</f>
        <v/>
      </c>
    </row>
    <row r="6">
      <c r="A6" s="7" t="inlineStr">
        <is>
          <t>일반</t>
        </is>
      </c>
      <c r="B6" s="20" t="inlineStr">
        <is>
          <t>히든 재료</t>
        </is>
      </c>
      <c r="C6" s="18">
        <f>파라미터!$B$14</f>
        <v/>
      </c>
      <c r="D6" s="22">
        <f>1/C6</f>
        <v/>
      </c>
      <c r="E6" s="13">
        <f>D6*파라미터!$B$21/60</f>
        <v/>
      </c>
    </row>
    <row r="7">
      <c r="A7" s="7" t="inlineStr">
        <is>
          <t>보스</t>
        </is>
      </c>
      <c r="B7" s="20" t="inlineStr">
        <is>
          <t>제작 재료</t>
        </is>
      </c>
      <c r="C7" s="18">
        <f>파라미터!$B$15</f>
        <v/>
      </c>
      <c r="D7" s="22">
        <f>1/C7</f>
        <v/>
      </c>
      <c r="E7" s="13">
        <f>D7*파라미터!$B$21/60</f>
        <v/>
      </c>
    </row>
    <row r="8">
      <c r="A8" s="7" t="inlineStr">
        <is>
          <t>보스</t>
        </is>
      </c>
      <c r="B8" s="20" t="inlineStr">
        <is>
          <t>히든 재료</t>
        </is>
      </c>
      <c r="C8" s="18">
        <f>파라미터!$B$16</f>
        <v/>
      </c>
      <c r="D8" s="22">
        <f>1/C8</f>
        <v/>
      </c>
      <c r="E8" s="13">
        <f>D8*파라미터!$B$21/60</f>
        <v/>
      </c>
    </row>
    <row r="11">
      <c r="A11" s="15" t="inlineStr">
        <is>
          <t>■ 조합법 (제작 1개당 필요 재료 &amp; 기대 런수)</t>
        </is>
      </c>
    </row>
    <row r="12">
      <c r="A12" s="2" t="inlineStr">
        <is>
          <t>제작 부위</t>
        </is>
      </c>
      <c r="B12" s="2" t="inlineStr">
        <is>
          <t>필요 재료</t>
        </is>
      </c>
      <c r="C12" s="2" t="inlineStr">
        <is>
          <t>기대 런수</t>
        </is>
      </c>
      <c r="D12" s="2" t="inlineStr">
        <is>
          <t>기대 시간(시)</t>
        </is>
      </c>
    </row>
    <row r="13">
      <c r="A13" s="20" t="inlineStr">
        <is>
          <t>무기/방어구/보조/모자/벨트 (각 1칸)</t>
        </is>
      </c>
      <c r="B13" s="23">
        <f>CONCATENATE("보스재료 ", 파라미터!$B$18, "개")</f>
        <v/>
      </c>
      <c r="C13" s="8">
        <f>파라미터!$B$18/파라미터!$B$15</f>
        <v/>
      </c>
      <c r="D13" s="13">
        <f>C13*파라미터!$B$21/60</f>
        <v/>
      </c>
    </row>
    <row r="14">
      <c r="A14" s="20" t="inlineStr">
        <is>
          <t>기타 (1칸)</t>
        </is>
      </c>
      <c r="B14" s="23">
        <f>CONCATENATE("보스히든 ", 파라미터!$B$19, " + 던전히든 ", 파라미터!$B$20)</f>
        <v/>
      </c>
      <c r="C14" s="8">
        <f>파라미터!$B$19/파라미터!$B$16+파라미터!$B$20/파라미터!$B$14</f>
        <v/>
      </c>
      <c r="D14" s="13">
        <f>C14*파라미터!$B$21/60</f>
        <v/>
      </c>
    </row>
    <row r="16">
      <c r="A16" s="5" t="inlineStr">
        <is>
          <t>기타만 히든 2종 요구 → 가장 희귀(엔드 부위). 기대시간이 과하면 파라미터에서 재료수↓ 또는 드랍률↑.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진행 시뮬: 일반 2던전 (2티어 장비 풀셋 + 아르카나 스택)</t>
        </is>
      </c>
    </row>
    <row r="3">
      <c r="A3" s="2" t="inlineStr">
        <is>
          <t>아르카나 개수</t>
        </is>
      </c>
      <c r="B3" s="2" t="inlineStr">
        <is>
          <t>데미지배수</t>
        </is>
      </c>
      <c r="C3" s="2" t="inlineStr">
        <is>
          <t>내 데미지</t>
        </is>
      </c>
      <c r="D3" s="2" t="inlineStr">
        <is>
          <t>요구데미지(20분컷)</t>
        </is>
      </c>
      <c r="E3" s="2" t="inlineStr">
        <is>
          <t>CPR</t>
        </is>
      </c>
      <c r="F3" s="2" t="inlineStr">
        <is>
          <t>클리어 시간(분)</t>
        </is>
      </c>
    </row>
    <row r="4">
      <c r="A4" s="24" t="n">
        <v>0</v>
      </c>
      <c r="B4" s="11" t="n">
        <v>1</v>
      </c>
      <c r="C4" s="8">
        <f>장비_티어!C5*B4</f>
        <v/>
      </c>
      <c r="D4" s="8">
        <f>던전_요구치!C5</f>
        <v/>
      </c>
      <c r="E4" s="25">
        <f>C4/D4</f>
        <v/>
      </c>
      <c r="F4" s="26">
        <f>파라미터!$B$9</f>
        <v/>
      </c>
    </row>
    <row r="5">
      <c r="A5" s="24" t="n">
        <v>100</v>
      </c>
      <c r="B5" s="12">
        <f>VLOOKUP(A5,특수아이템_스택!$A$4:$B$10,2,FALSE)</f>
        <v/>
      </c>
      <c r="C5" s="8">
        <f>장비_티어!C5*B5</f>
        <v/>
      </c>
      <c r="D5" s="8">
        <f>던전_요구치!C5</f>
        <v/>
      </c>
      <c r="E5" s="25">
        <f>C5/D5</f>
        <v/>
      </c>
      <c r="F5" s="26">
        <f>VLOOKUP(A5,시간곡선_룩업!$A$1:$B$7,2,FALSE)</f>
        <v/>
      </c>
    </row>
    <row r="6">
      <c r="A6" s="24" t="n">
        <v>200</v>
      </c>
      <c r="B6" s="12">
        <f>VLOOKUP(A6,특수아이템_스택!$A$4:$B$10,2,FALSE)</f>
        <v/>
      </c>
      <c r="C6" s="8">
        <f>장비_티어!C5*B6</f>
        <v/>
      </c>
      <c r="D6" s="8">
        <f>던전_요구치!C5</f>
        <v/>
      </c>
      <c r="E6" s="25">
        <f>C6/D6</f>
        <v/>
      </c>
      <c r="F6" s="26">
        <f>VLOOKUP(A6,시간곡선_룩업!$A$1:$B$7,2,FALSE)</f>
        <v/>
      </c>
    </row>
    <row r="7">
      <c r="A7" s="24" t="n">
        <v>300</v>
      </c>
      <c r="B7" s="12">
        <f>VLOOKUP(A7,특수아이템_스택!$A$4:$B$10,2,FALSE)</f>
        <v/>
      </c>
      <c r="C7" s="8">
        <f>장비_티어!C5*B7</f>
        <v/>
      </c>
      <c r="D7" s="8">
        <f>던전_요구치!C5</f>
        <v/>
      </c>
      <c r="E7" s="25">
        <f>C7/D7</f>
        <v/>
      </c>
      <c r="F7" s="26">
        <f>VLOOKUP(A7,시간곡선_룩업!$A$1:$B$7,2,FALSE)</f>
        <v/>
      </c>
    </row>
    <row r="8">
      <c r="A8" s="24" t="n">
        <v>500</v>
      </c>
      <c r="B8" s="12">
        <f>VLOOKUP(A8,특수아이템_스택!$A$4:$B$10,2,FALSE)</f>
        <v/>
      </c>
      <c r="C8" s="8">
        <f>장비_티어!C5*B8</f>
        <v/>
      </c>
      <c r="D8" s="8">
        <f>던전_요구치!C5</f>
        <v/>
      </c>
      <c r="E8" s="25">
        <f>C8/D8</f>
        <v/>
      </c>
      <c r="F8" s="26">
        <f>VLOOKUP(A8,시간곡선_룩업!$A$1:$B$7,2,FALSE)</f>
        <v/>
      </c>
    </row>
    <row r="9">
      <c r="A9" s="24" t="n">
        <v>1000</v>
      </c>
      <c r="B9" s="12">
        <f>VLOOKUP(A9,특수아이템_스택!$A$4:$B$10,2,FALSE)</f>
        <v/>
      </c>
      <c r="C9" s="8">
        <f>장비_티어!C5*B9</f>
        <v/>
      </c>
      <c r="D9" s="8">
        <f>던전_요구치!C5</f>
        <v/>
      </c>
      <c r="E9" s="25">
        <f>C9/D9</f>
        <v/>
      </c>
      <c r="F9" s="26">
        <f>VLOOKUP(A9,시간곡선_룩업!$A$1:$B$7,2,FALSE)</f>
        <v/>
      </c>
    </row>
    <row r="10">
      <c r="A10" s="24" t="n">
        <v>2000</v>
      </c>
      <c r="B10" s="12">
        <f>VLOOKUP(A10,특수아이템_스택!$A$4:$B$10,2,FALSE)</f>
        <v/>
      </c>
      <c r="C10" s="8">
        <f>장비_티어!C5*B10</f>
        <v/>
      </c>
      <c r="D10" s="8">
        <f>던전_요구치!C5</f>
        <v/>
      </c>
      <c r="E10" s="25">
        <f>C10/D10</f>
        <v/>
      </c>
      <c r="F10" s="26">
        <f>VLOOKUP(A10,시간곡선_룩업!$A$1:$B$7,2,FALSE)</f>
        <v/>
      </c>
    </row>
    <row r="11">
      <c r="A11" s="24" t="n">
        <v>4000</v>
      </c>
      <c r="B11" s="12">
        <f>VLOOKUP(A11,특수아이템_스택!$A$4:$B$10,2,FALSE)</f>
        <v/>
      </c>
      <c r="C11" s="8">
        <f>장비_티어!C5*B11</f>
        <v/>
      </c>
      <c r="D11" s="8">
        <f>던전_요구치!C5</f>
        <v/>
      </c>
      <c r="E11" s="25">
        <f>C11/D11</f>
        <v/>
      </c>
      <c r="F11" s="26">
        <f>VLOOKUP(A11,시간곡선_룩업!$A$1:$B$7,2,FALSE)</f>
        <v/>
      </c>
    </row>
    <row r="13">
      <c r="A13" s="5" t="inlineStr">
        <is>
          <t>CPR 1.32~2.50 구간이 곧 클리어 시간 15→5분. 다음 던전(요구치 2.5배)은 풀스택해도 CPR&lt;1 → 못 넘음(게이팅).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15</v>
      </c>
    </row>
    <row r="2">
      <c r="A2" t="n">
        <v>200</v>
      </c>
      <c r="B2" t="n">
        <v>14</v>
      </c>
    </row>
    <row r="3">
      <c r="A3" t="n">
        <v>300</v>
      </c>
      <c r="B3" t="n">
        <v>13</v>
      </c>
    </row>
    <row r="4">
      <c r="A4" t="n">
        <v>500</v>
      </c>
      <c r="B4" t="n">
        <v>12</v>
      </c>
    </row>
    <row r="5">
      <c r="A5" t="n">
        <v>1000</v>
      </c>
      <c r="B5" t="n">
        <v>10</v>
      </c>
    </row>
    <row r="6">
      <c r="A6" t="n">
        <v>2000</v>
      </c>
      <c r="B6" t="n">
        <v>7</v>
      </c>
    </row>
    <row r="7">
      <c r="A7" t="n">
        <v>4000</v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2026-06-29T05:19:32Z</dcterms:created>
  <dcterms:modified xsi:type="dcterms:W3CDTF">2026-06-29T05:19:32Z</dcterms:modified>
</cp:coreProperties>
</file>